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vaitconty/Documents/Keyboards/Modulus/BOM/"/>
    </mc:Choice>
  </mc:AlternateContent>
  <xr:revisionPtr revIDLastSave="0" documentId="13_ncr:1_{6540CA42-8DED-0046-8795-E9C418B6F28C}" xr6:coauthVersionLast="47" xr6:coauthVersionMax="47" xr10:uidLastSave="{00000000-0000-0000-0000-000000000000}"/>
  <bookViews>
    <workbookView xWindow="0" yWindow="780" windowWidth="36000" windowHeight="20860" xr2:uid="{2EEB08E8-58DF-3746-A530-41BD782A3652}"/>
  </bookViews>
  <sheets>
    <sheet name="Full 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H22" i="1"/>
  <c r="H23" i="1"/>
  <c r="H24" i="1"/>
  <c r="H25" i="1"/>
  <c r="H21" i="1"/>
  <c r="H6" i="1"/>
  <c r="H16" i="1"/>
  <c r="H17" i="1"/>
  <c r="H18" i="1"/>
  <c r="H19" i="1"/>
  <c r="H20" i="1"/>
  <c r="H14" i="1"/>
  <c r="H13" i="1"/>
  <c r="H12" i="1"/>
  <c r="H2" i="1"/>
  <c r="H3" i="1"/>
  <c r="H4" i="1"/>
  <c r="H5" i="1"/>
  <c r="H7" i="1"/>
  <c r="H9" i="1"/>
  <c r="H10" i="1"/>
  <c r="H11" i="1"/>
</calcChain>
</file>

<file path=xl/sharedStrings.xml><?xml version="1.0" encoding="utf-8"?>
<sst xmlns="http://schemas.openxmlformats.org/spreadsheetml/2006/main" count="138" uniqueCount="71">
  <si>
    <t>Neutrik NC3FAAH</t>
  </si>
  <si>
    <t>XLR Connector (Female)</t>
  </si>
  <si>
    <t>SPI over XLR connections on keyboard</t>
  </si>
  <si>
    <t>LCSC</t>
  </si>
  <si>
    <t>https://www.lcsc.com/product-detail/C368521.html</t>
  </si>
  <si>
    <t>Neutrik NC3MAH</t>
  </si>
  <si>
    <t>XLR Connector (Male)</t>
  </si>
  <si>
    <t>SPI over XLR connections on macropad</t>
  </si>
  <si>
    <t>https://www.lcsc.com/product-detail/C5154126.html</t>
  </si>
  <si>
    <t>BZCN TSD001A05518A</t>
  </si>
  <si>
    <t>Button 6mmX6mm</t>
  </si>
  <si>
    <t>Reset button</t>
  </si>
  <si>
    <t>https://www.lcsc.com/product-detail/C2889004.html</t>
  </si>
  <si>
    <t>Purchase 50 due to minimum purchase quantity</t>
  </si>
  <si>
    <t>UGREEN 60121</t>
  </si>
  <si>
    <t>USB-A to USB-C Cable (1m)</t>
  </si>
  <si>
    <t>Keyboard connection</t>
  </si>
  <si>
    <t>https://www.lcsc.com/product-detail/C5189133.html</t>
  </si>
  <si>
    <t>Global Direct Standard Line</t>
  </si>
  <si>
    <t>Shipping</t>
  </si>
  <si>
    <t>-</t>
  </si>
  <si>
    <t>Keyboard</t>
  </si>
  <si>
    <t>Model</t>
  </si>
  <si>
    <t>Item</t>
  </si>
  <si>
    <t>Purpose</t>
  </si>
  <si>
    <t>Vendor</t>
  </si>
  <si>
    <t>Link</t>
  </si>
  <si>
    <t>Qty</t>
  </si>
  <si>
    <t>Unit Price</t>
  </si>
  <si>
    <t>Total Price</t>
  </si>
  <si>
    <t>Remarks</t>
  </si>
  <si>
    <t>PCB</t>
  </si>
  <si>
    <t>JLC</t>
  </si>
  <si>
    <t>PCB Assembly</t>
  </si>
  <si>
    <t>Setup Fee</t>
  </si>
  <si>
    <t>Stencil</t>
  </si>
  <si>
    <t>Components</t>
  </si>
  <si>
    <t>Extended Components Fee</t>
  </si>
  <si>
    <t>SMT Assembly</t>
  </si>
  <si>
    <t>Nitrogen Reflow Soldering</t>
  </si>
  <si>
    <t>Macropad</t>
  </si>
  <si>
    <t>Macropad + Keyboard Shipping</t>
  </si>
  <si>
    <t>UPS Worldwide Saver</t>
  </si>
  <si>
    <t>Han Electricity CPG151101S11-16</t>
  </si>
  <si>
    <t>Hotswap Keyswitch</t>
  </si>
  <si>
    <t>For keyboard</t>
  </si>
  <si>
    <t>https://www.lcsc.com/product-detail/C41430893.html</t>
  </si>
  <si>
    <t>KBDiy 147/Keys Modern-Dolch Keycaps</t>
  </si>
  <si>
    <t>Keycaps for Keyboard</t>
  </si>
  <si>
    <t>Keycaps</t>
  </si>
  <si>
    <t>AliExpress</t>
  </si>
  <si>
    <t>Samzhe XLR Cable</t>
  </si>
  <si>
    <t>XLR Cables</t>
  </si>
  <si>
    <t>For connecting macropad and keyboard</t>
  </si>
  <si>
    <t>Outemu Silent Lemon V3s 110 switch pack</t>
  </si>
  <si>
    <t>Keyswitch</t>
  </si>
  <si>
    <t>Very nice keyswitch </t>
  </si>
  <si>
    <t>128x32 OLED</t>
  </si>
  <si>
    <t>Screen</t>
  </si>
  <si>
    <t>Indicator on Keyboard</t>
  </si>
  <si>
    <t>I burnt the last one i soldered so i shall be smart and get one pre soldered-</t>
  </si>
  <si>
    <t xml:space="preserve">Total: </t>
  </si>
  <si>
    <t>Soldering Iron Tip</t>
  </si>
  <si>
    <t xml:space="preserve">Chisel </t>
  </si>
  <si>
    <t>For my tipless pinecil</t>
  </si>
  <si>
    <t>https://www.aliexpress.com/item/1005006125240838.html?spm=a2g0o.productlist.main.6.66bd2496Dp8rGm&amp;algo_pvid=a654366c-40ab-4734-ab6a-a123226552cc&amp;algo_exp_id=a654366c-40ab-4734-ab6a-a123226552cc-5&amp;pdp_ext_f=%7B%22order%22%3A%221770%22%2C%22eval%22%3A%221%22%2C%22fromPage%22%3A%22search%22%7D&amp;pdp_npi=6%40dis%21SGD%216.41%216.41%21%21%2133.51%2133.51%21%40214100f417747125708503073ecd6e%2112000035866671619%21sea%21SG%216170289340%21X%211%210%21n_tag%3A-29919%3Bd%3A1631bfd3%3Bm03_new_user%3A-29895&amp;curPageLogUid=HrnIASZUeSxM&amp;utparam-url=scene%3Asearch%7Cquery_from%3A%7Cx_object_id%3A1005006125240838%7C_p_origin_prod%3A</t>
  </si>
  <si>
    <t>https://www.aliexpress.com/item/1005010169995953.html?spm=a2g0o.cart.0.0.725938da12kScX&amp;mp=1&amp;pdp_npi=6%40dis%21SGD%21SGD%2060.22%21SGD%2027.10%21%21SGD%2027.10%21%21%21%40212e509017747128219972413efe34%2112000051507739470%21ct%21SG%216170289340%21%211%210%21</t>
  </si>
  <si>
    <t>https://www.aliexpress.com/item/1005005609580877.html?spm=a2g0o.cart.0.0.725938da12kScX&amp;mp=1&amp;pdp_npi=6%40dis%21SGD%21SGD%2025.38%21SGD%2025.38%21%21SGD%2025.38%21%21%21%40212e509017747128219972413efe34%2112000033742002749%21ct%21SG%216170289340%21%211%210%21</t>
  </si>
  <si>
    <t>I was told this was allowed (https://hackclub.slack.com/archives/C09CMJV6V6K/p1774712666820039?thread_ts=1774710807.451839&amp;cid=C09CMJV6V6K)</t>
  </si>
  <si>
    <t>https://www.aliexpress.com/item/1005005301005280.html?spm=a2g0o.cart.0.0.725938da12kScX&amp;mp=1&amp;pdp_npi=6%40dis%21SGD%21SGD%203.58%21SGD%203.58%21%21SGD%203.58%21%21%21%40212e509017747128219972413efe34%2112000032548039888%21ct%21SG%216170289340%21%211%210%21</t>
  </si>
  <si>
    <t>https://www.aliexpress.com/item/1005005725048225.html?spm=a2g0o.cart.0.0.725938da12kScX&amp;mp=1&amp;pdp_npi=6%40dis%21SGD%21SGD%208.29%21SGD%208.29%21%21SGD%208.29%21%21%21%40212e509017747128219972413efe34%2112000040016579125%21ct%21SG%216170289340%21%212%210%21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</si>
</sst>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5" fillId="0" borderId="0" xfId="2"/>
    <xf numFmtId="0" fontId="4" fillId="0" borderId="0" xfId="0" applyFont="1"/>
    <xf numFmtId="44" fontId="0" fillId="0" borderId="0" xfId="1" applyFont="1"/>
    <xf numFmtId="44" fontId="2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csc.com/product-detail/C2889004.html" TargetMode="External"/><Relationship Id="rId2" Type="http://schemas.openxmlformats.org/officeDocument/2006/relationships/hyperlink" Target="https://www.lcsc.com/product-detail/C5154126.html" TargetMode="External"/><Relationship Id="rId1" Type="http://schemas.openxmlformats.org/officeDocument/2006/relationships/hyperlink" Target="https://www.lcsc.com/product-detail/C368521.html" TargetMode="External"/><Relationship Id="rId4" Type="http://schemas.openxmlformats.org/officeDocument/2006/relationships/hyperlink" Target="https://www.lcsc.com/product-detail/C518913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456A-25C5-634F-8363-9511156E30D4}">
  <dimension ref="A1:I36"/>
  <sheetViews>
    <sheetView tabSelected="1" topLeftCell="A13" zoomScale="179" workbookViewId="0">
      <selection activeCell="E22" sqref="E22"/>
    </sheetView>
  </sheetViews>
  <sheetFormatPr baseColWidth="10" defaultRowHeight="16" x14ac:dyDescent="0.2"/>
  <cols>
    <col min="1" max="1" width="25.6640625" customWidth="1"/>
    <col min="2" max="2" width="22.1640625" customWidth="1"/>
    <col min="3" max="3" width="19.83203125" customWidth="1"/>
  </cols>
  <sheetData>
    <row r="1" spans="1:9" x14ac:dyDescent="0.2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x14ac:dyDescent="0.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>
        <v>2</v>
      </c>
      <c r="G2" s="6">
        <v>1.59</v>
      </c>
      <c r="H2" s="5">
        <f t="shared" ref="H2:H6" si="0">F2*G2</f>
        <v>3.18</v>
      </c>
      <c r="I2" s="4"/>
    </row>
    <row r="3" spans="1:9" x14ac:dyDescent="0.2">
      <c r="A3" s="1" t="s">
        <v>5</v>
      </c>
      <c r="B3" s="2" t="s">
        <v>6</v>
      </c>
      <c r="C3" s="2" t="s">
        <v>7</v>
      </c>
      <c r="D3" s="2" t="s">
        <v>3</v>
      </c>
      <c r="E3" s="3" t="s">
        <v>8</v>
      </c>
      <c r="F3" s="2">
        <v>2</v>
      </c>
      <c r="G3" s="6">
        <v>1.98</v>
      </c>
      <c r="H3" s="5">
        <f t="shared" si="0"/>
        <v>3.96</v>
      </c>
      <c r="I3" s="4"/>
    </row>
    <row r="4" spans="1:9" x14ac:dyDescent="0.2">
      <c r="A4" s="1" t="s">
        <v>9</v>
      </c>
      <c r="B4" s="2" t="s">
        <v>10</v>
      </c>
      <c r="C4" s="2" t="s">
        <v>11</v>
      </c>
      <c r="D4" s="2" t="s">
        <v>3</v>
      </c>
      <c r="E4" s="3" t="s">
        <v>12</v>
      </c>
      <c r="F4" s="2">
        <v>50</v>
      </c>
      <c r="G4" s="6">
        <v>0.01</v>
      </c>
      <c r="H4" s="5">
        <f t="shared" si="0"/>
        <v>0.5</v>
      </c>
      <c r="I4" s="2" t="s">
        <v>13</v>
      </c>
    </row>
    <row r="5" spans="1:9" x14ac:dyDescent="0.2">
      <c r="A5" s="1" t="s">
        <v>14</v>
      </c>
      <c r="B5" s="2" t="s">
        <v>15</v>
      </c>
      <c r="C5" s="2" t="s">
        <v>16</v>
      </c>
      <c r="D5" s="2" t="s">
        <v>3</v>
      </c>
      <c r="E5" s="3" t="s">
        <v>17</v>
      </c>
      <c r="F5" s="2">
        <v>1</v>
      </c>
      <c r="G5" s="6">
        <v>2.54</v>
      </c>
      <c r="H5" s="5">
        <f t="shared" si="0"/>
        <v>2.54</v>
      </c>
      <c r="I5" s="4"/>
    </row>
    <row r="6" spans="1:9" x14ac:dyDescent="0.2">
      <c r="A6" t="s">
        <v>43</v>
      </c>
      <c r="B6" s="2" t="s">
        <v>44</v>
      </c>
      <c r="C6" s="2" t="s">
        <v>45</v>
      </c>
      <c r="D6" s="2" t="s">
        <v>3</v>
      </c>
      <c r="E6" t="s">
        <v>46</v>
      </c>
      <c r="F6" s="2">
        <v>120</v>
      </c>
      <c r="G6" s="6">
        <v>3.4299999999999997E-2</v>
      </c>
      <c r="H6" s="5">
        <f t="shared" si="0"/>
        <v>4.1159999999999997</v>
      </c>
      <c r="I6" s="4"/>
    </row>
    <row r="7" spans="1:9" x14ac:dyDescent="0.2">
      <c r="A7" s="1" t="s">
        <v>18</v>
      </c>
      <c r="B7" s="2" t="s">
        <v>19</v>
      </c>
      <c r="C7" s="2" t="s">
        <v>19</v>
      </c>
      <c r="D7" s="2" t="s">
        <v>3</v>
      </c>
      <c r="E7" s="2" t="s">
        <v>20</v>
      </c>
      <c r="F7" s="2">
        <v>1</v>
      </c>
      <c r="G7" s="6">
        <v>5.5</v>
      </c>
      <c r="H7" s="5">
        <f>F7*G7</f>
        <v>5.5</v>
      </c>
    </row>
    <row r="8" spans="1:9" x14ac:dyDescent="0.2">
      <c r="A8" s="1" t="s">
        <v>21</v>
      </c>
      <c r="B8" s="2" t="s">
        <v>31</v>
      </c>
      <c r="C8" s="2" t="s">
        <v>31</v>
      </c>
      <c r="D8" s="2" t="s">
        <v>32</v>
      </c>
      <c r="E8" s="2" t="s">
        <v>20</v>
      </c>
      <c r="F8" s="2">
        <v>5</v>
      </c>
      <c r="G8" s="5">
        <v>28</v>
      </c>
      <c r="H8" s="5">
        <v>28</v>
      </c>
    </row>
    <row r="9" spans="1:9" x14ac:dyDescent="0.2">
      <c r="A9" s="1" t="s">
        <v>21</v>
      </c>
      <c r="B9" s="2" t="s">
        <v>33</v>
      </c>
      <c r="C9" s="2" t="s">
        <v>34</v>
      </c>
      <c r="D9" s="2" t="s">
        <v>32</v>
      </c>
      <c r="E9" s="2" t="s">
        <v>20</v>
      </c>
      <c r="F9" s="2">
        <v>1</v>
      </c>
      <c r="G9" s="6">
        <v>8.1199999999999992</v>
      </c>
      <c r="H9" s="5">
        <f t="shared" ref="H9:H14" si="1">F9*G9</f>
        <v>8.1199999999999992</v>
      </c>
    </row>
    <row r="10" spans="1:9" x14ac:dyDescent="0.2">
      <c r="A10" s="1" t="s">
        <v>21</v>
      </c>
      <c r="B10" s="2" t="s">
        <v>33</v>
      </c>
      <c r="C10" s="2" t="s">
        <v>35</v>
      </c>
      <c r="D10" s="2" t="s">
        <v>32</v>
      </c>
      <c r="E10" s="2" t="s">
        <v>20</v>
      </c>
      <c r="F10" s="2">
        <v>1</v>
      </c>
      <c r="G10" s="5">
        <v>1.52</v>
      </c>
      <c r="H10" s="5">
        <f t="shared" si="1"/>
        <v>1.52</v>
      </c>
    </row>
    <row r="11" spans="1:9" x14ac:dyDescent="0.2">
      <c r="A11" s="1" t="s">
        <v>21</v>
      </c>
      <c r="B11" s="2" t="s">
        <v>33</v>
      </c>
      <c r="C11" s="2" t="s">
        <v>36</v>
      </c>
      <c r="D11" s="2" t="s">
        <v>32</v>
      </c>
      <c r="E11" s="2" t="s">
        <v>20</v>
      </c>
      <c r="F11" s="2">
        <v>1</v>
      </c>
      <c r="G11" s="5">
        <v>14.94</v>
      </c>
      <c r="H11" s="5">
        <f t="shared" si="1"/>
        <v>14.94</v>
      </c>
    </row>
    <row r="12" spans="1:9" x14ac:dyDescent="0.2">
      <c r="A12" s="1" t="s">
        <v>21</v>
      </c>
      <c r="B12" s="2" t="s">
        <v>33</v>
      </c>
      <c r="C12" s="2" t="s">
        <v>37</v>
      </c>
      <c r="D12" s="2" t="s">
        <v>32</v>
      </c>
      <c r="E12" s="2" t="s">
        <v>20</v>
      </c>
      <c r="F12" s="2">
        <v>1</v>
      </c>
      <c r="G12" s="5">
        <v>18.239999999999998</v>
      </c>
      <c r="H12" s="5">
        <f t="shared" si="1"/>
        <v>18.239999999999998</v>
      </c>
    </row>
    <row r="13" spans="1:9" x14ac:dyDescent="0.2">
      <c r="A13" s="1" t="s">
        <v>21</v>
      </c>
      <c r="B13" s="2" t="s">
        <v>33</v>
      </c>
      <c r="C13" s="2" t="s">
        <v>38</v>
      </c>
      <c r="D13" s="2" t="s">
        <v>32</v>
      </c>
      <c r="E13" t="s">
        <v>20</v>
      </c>
      <c r="F13" s="2">
        <v>1</v>
      </c>
      <c r="G13" s="5">
        <v>1.39</v>
      </c>
      <c r="H13" s="5">
        <f t="shared" si="1"/>
        <v>1.39</v>
      </c>
    </row>
    <row r="14" spans="1:9" x14ac:dyDescent="0.2">
      <c r="A14" s="1" t="s">
        <v>21</v>
      </c>
      <c r="B14" s="2" t="s">
        <v>33</v>
      </c>
      <c r="C14" s="2" t="s">
        <v>39</v>
      </c>
      <c r="D14" s="2" t="s">
        <v>32</v>
      </c>
      <c r="E14" t="s">
        <v>20</v>
      </c>
      <c r="F14" s="2">
        <v>1</v>
      </c>
      <c r="G14" s="5">
        <v>0.85</v>
      </c>
      <c r="H14" s="5">
        <f t="shared" si="1"/>
        <v>0.85</v>
      </c>
    </row>
    <row r="15" spans="1:9" x14ac:dyDescent="0.2">
      <c r="A15" s="1" t="s">
        <v>40</v>
      </c>
      <c r="B15" s="2" t="s">
        <v>31</v>
      </c>
      <c r="C15" s="2" t="s">
        <v>31</v>
      </c>
      <c r="D15" s="2" t="s">
        <v>32</v>
      </c>
      <c r="E15" s="2" t="s">
        <v>20</v>
      </c>
      <c r="F15" s="2">
        <v>5</v>
      </c>
      <c r="G15" s="5">
        <v>11</v>
      </c>
      <c r="H15" s="5">
        <v>11</v>
      </c>
    </row>
    <row r="16" spans="1:9" x14ac:dyDescent="0.2">
      <c r="A16" s="1" t="s">
        <v>40</v>
      </c>
      <c r="B16" s="2" t="s">
        <v>33</v>
      </c>
      <c r="C16" s="2" t="s">
        <v>34</v>
      </c>
      <c r="D16" s="2" t="s">
        <v>32</v>
      </c>
      <c r="E16" s="2" t="s">
        <v>20</v>
      </c>
      <c r="F16" s="2">
        <v>1</v>
      </c>
      <c r="G16" s="5">
        <v>8.1199999999999992</v>
      </c>
      <c r="H16" s="5">
        <f t="shared" ref="H16:H21" si="2">F16*G16</f>
        <v>8.1199999999999992</v>
      </c>
    </row>
    <row r="17" spans="1:9" x14ac:dyDescent="0.2">
      <c r="A17" s="1" t="s">
        <v>40</v>
      </c>
      <c r="B17" s="2" t="s">
        <v>33</v>
      </c>
      <c r="C17" s="2" t="s">
        <v>35</v>
      </c>
      <c r="D17" s="2" t="s">
        <v>32</v>
      </c>
      <c r="E17" s="2" t="s">
        <v>20</v>
      </c>
      <c r="F17" s="2">
        <v>1</v>
      </c>
      <c r="G17" s="5">
        <v>1.52</v>
      </c>
      <c r="H17" s="5">
        <f t="shared" si="2"/>
        <v>1.52</v>
      </c>
    </row>
    <row r="18" spans="1:9" x14ac:dyDescent="0.2">
      <c r="A18" s="1" t="s">
        <v>40</v>
      </c>
      <c r="B18" s="2" t="s">
        <v>33</v>
      </c>
      <c r="C18" s="2" t="s">
        <v>36</v>
      </c>
      <c r="D18" s="2" t="s">
        <v>32</v>
      </c>
      <c r="E18" s="2" t="s">
        <v>20</v>
      </c>
      <c r="F18" s="2">
        <v>1</v>
      </c>
      <c r="G18" s="5">
        <v>0.55000000000000004</v>
      </c>
      <c r="H18" s="5">
        <f t="shared" si="2"/>
        <v>0.55000000000000004</v>
      </c>
    </row>
    <row r="19" spans="1:9" x14ac:dyDescent="0.2">
      <c r="A19" s="1" t="s">
        <v>40</v>
      </c>
      <c r="B19" s="2" t="s">
        <v>33</v>
      </c>
      <c r="C19" s="2" t="s">
        <v>38</v>
      </c>
      <c r="D19" s="2" t="s">
        <v>32</v>
      </c>
      <c r="E19" t="s">
        <v>20</v>
      </c>
      <c r="F19" s="2">
        <v>1</v>
      </c>
      <c r="G19" s="5">
        <v>0.16</v>
      </c>
      <c r="H19" s="5">
        <f t="shared" si="2"/>
        <v>0.16</v>
      </c>
    </row>
    <row r="20" spans="1:9" x14ac:dyDescent="0.2">
      <c r="A20" s="1" t="s">
        <v>40</v>
      </c>
      <c r="B20" s="2" t="s">
        <v>33</v>
      </c>
      <c r="C20" s="2" t="s">
        <v>39</v>
      </c>
      <c r="D20" s="2" t="s">
        <v>32</v>
      </c>
      <c r="E20" t="s">
        <v>20</v>
      </c>
      <c r="F20" s="2">
        <v>1</v>
      </c>
      <c r="G20" s="5">
        <v>0.85</v>
      </c>
      <c r="H20" s="5">
        <f t="shared" si="2"/>
        <v>0.85</v>
      </c>
    </row>
    <row r="21" spans="1:9" x14ac:dyDescent="0.2">
      <c r="A21" s="1" t="s">
        <v>19</v>
      </c>
      <c r="B21" s="2" t="s">
        <v>41</v>
      </c>
      <c r="C21" s="2" t="s">
        <v>42</v>
      </c>
      <c r="D21" s="2" t="s">
        <v>32</v>
      </c>
      <c r="E21" s="2" t="s">
        <v>20</v>
      </c>
      <c r="F21" s="2">
        <v>1</v>
      </c>
      <c r="G21" s="5">
        <v>19.71</v>
      </c>
      <c r="H21" s="5">
        <f t="shared" si="2"/>
        <v>19.71</v>
      </c>
    </row>
    <row r="22" spans="1:9" x14ac:dyDescent="0.2">
      <c r="A22" s="1" t="s">
        <v>47</v>
      </c>
      <c r="B22" s="2" t="s">
        <v>48</v>
      </c>
      <c r="C22" s="2" t="s">
        <v>49</v>
      </c>
      <c r="D22" s="2" t="s">
        <v>50</v>
      </c>
      <c r="E22" s="4" t="s">
        <v>66</v>
      </c>
      <c r="F22" s="2">
        <v>1</v>
      </c>
      <c r="G22" s="6">
        <v>19.7</v>
      </c>
      <c r="H22" s="5">
        <f t="shared" ref="H22:H26" si="3">F22*G22</f>
        <v>19.7</v>
      </c>
      <c r="I22" s="4"/>
    </row>
    <row r="23" spans="1:9" x14ac:dyDescent="0.2">
      <c r="A23" s="1" t="s">
        <v>51</v>
      </c>
      <c r="B23" s="2" t="s">
        <v>52</v>
      </c>
      <c r="C23" s="2" t="s">
        <v>53</v>
      </c>
      <c r="D23" s="2" t="s">
        <v>50</v>
      </c>
      <c r="E23" s="4" t="s">
        <v>70</v>
      </c>
      <c r="F23" s="2">
        <v>2</v>
      </c>
      <c r="G23" s="6">
        <v>6.43</v>
      </c>
      <c r="H23" s="5">
        <f t="shared" si="3"/>
        <v>12.86</v>
      </c>
      <c r="I23" s="4"/>
    </row>
    <row r="24" spans="1:9" x14ac:dyDescent="0.2">
      <c r="A24" s="1" t="s">
        <v>54</v>
      </c>
      <c r="B24" s="2" t="s">
        <v>55</v>
      </c>
      <c r="C24" s="2" t="s">
        <v>56</v>
      </c>
      <c r="D24" s="2" t="s">
        <v>50</v>
      </c>
      <c r="E24" s="4" t="s">
        <v>67</v>
      </c>
      <c r="F24" s="2">
        <v>1</v>
      </c>
      <c r="G24" s="6">
        <v>21.03</v>
      </c>
      <c r="H24" s="5">
        <f t="shared" si="3"/>
        <v>21.03</v>
      </c>
      <c r="I24" s="4"/>
    </row>
    <row r="25" spans="1:9" x14ac:dyDescent="0.2">
      <c r="A25" s="1" t="s">
        <v>57</v>
      </c>
      <c r="B25" s="2" t="s">
        <v>58</v>
      </c>
      <c r="C25" s="2" t="s">
        <v>59</v>
      </c>
      <c r="D25" s="2" t="s">
        <v>50</v>
      </c>
      <c r="E25" s="4" t="s">
        <v>69</v>
      </c>
      <c r="F25" s="2">
        <v>1</v>
      </c>
      <c r="G25" s="6">
        <v>2.79</v>
      </c>
      <c r="H25" s="5">
        <f t="shared" si="3"/>
        <v>2.79</v>
      </c>
      <c r="I25" s="2" t="s">
        <v>60</v>
      </c>
    </row>
    <row r="26" spans="1:9" x14ac:dyDescent="0.2">
      <c r="A26" s="1" t="s">
        <v>62</v>
      </c>
      <c r="B26" s="2" t="s">
        <v>63</v>
      </c>
      <c r="C26" s="2" t="s">
        <v>64</v>
      </c>
      <c r="D26" s="2" t="s">
        <v>50</v>
      </c>
      <c r="E26" t="s">
        <v>65</v>
      </c>
      <c r="F26" s="2">
        <v>1</v>
      </c>
      <c r="G26" s="6">
        <v>5.03</v>
      </c>
      <c r="H26" s="5">
        <f t="shared" si="3"/>
        <v>5.03</v>
      </c>
      <c r="I26" t="s">
        <v>68</v>
      </c>
    </row>
    <row r="27" spans="1:9" x14ac:dyDescent="0.2">
      <c r="G27" s="2" t="s">
        <v>61</v>
      </c>
      <c r="H27" s="5">
        <f>SUM(H2:H26)</f>
        <v>196.17599999999996</v>
      </c>
    </row>
    <row r="28" spans="1:9" x14ac:dyDescent="0.2">
      <c r="H28" s="5"/>
    </row>
    <row r="29" spans="1:9" x14ac:dyDescent="0.2">
      <c r="H29" s="5"/>
    </row>
    <row r="30" spans="1:9" x14ac:dyDescent="0.2">
      <c r="H30" s="5"/>
    </row>
    <row r="31" spans="1:9" x14ac:dyDescent="0.2">
      <c r="H31" s="5"/>
    </row>
    <row r="32" spans="1:9" x14ac:dyDescent="0.2">
      <c r="H32" s="5"/>
    </row>
    <row r="33" spans="8:8" x14ac:dyDescent="0.2">
      <c r="H33" s="5"/>
    </row>
    <row r="34" spans="8:8" x14ac:dyDescent="0.2">
      <c r="H34" s="5"/>
    </row>
    <row r="35" spans="8:8" x14ac:dyDescent="0.2">
      <c r="H35" s="5"/>
    </row>
    <row r="36" spans="8:8" x14ac:dyDescent="0.2">
      <c r="H36" s="5"/>
    </row>
  </sheetData>
  <hyperlinks>
    <hyperlink ref="E2" r:id="rId1" xr:uid="{4F5E143D-24E7-CA49-A337-B83EDFE8FDF9}"/>
    <hyperlink ref="E3" r:id="rId2" xr:uid="{482826C1-6206-6A45-B221-795AD6F41646}"/>
    <hyperlink ref="E4" r:id="rId3" xr:uid="{54A25536-78CF-6E43-8BD5-224E53230C49}"/>
    <hyperlink ref="E5" r:id="rId4" xr:uid="{CC66AA16-6B02-7A4D-978F-7F9137DFA7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2027 CONTRACTOR ADVAIT MILIND</dc:creator>
  <cp:lastModifiedBy>2027 CONTRACTOR ADVAIT MILIND</cp:lastModifiedBy>
  <dcterms:created xsi:type="dcterms:W3CDTF">2026-03-28T10:34:50Z</dcterms:created>
  <dcterms:modified xsi:type="dcterms:W3CDTF">2026-03-28T15:47:43Z</dcterms:modified>
</cp:coreProperties>
</file>